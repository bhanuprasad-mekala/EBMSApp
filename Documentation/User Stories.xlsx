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mekala.bhanuprasad\Desktop\Projects\EBMSApp\Documentation\"/>
    </mc:Choice>
  </mc:AlternateContent>
  <xr:revisionPtr revIDLastSave="0" documentId="13_ncr:1_{72ECD1D2-ABE4-4386-A7FE-1F4E8F1883D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shboard" sheetId="2" r:id="rId1"/>
    <sheet name="Sheet1" sheetId="7" r:id="rId2"/>
    <sheet name="User Stories" sheetId="1" r:id="rId3"/>
    <sheet name="Tasks" sheetId="6" r:id="rId4"/>
    <sheet name="Pivot Tables" sheetId="5" r:id="rId5"/>
  </sheets>
  <calcPr calcId="191029"/>
  <pivotCaches>
    <pivotCache cacheId="1" r:id="rId6"/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7" l="1"/>
  <c r="C4" i="7"/>
  <c r="A4" i="7"/>
</calcChain>
</file>

<file path=xl/sharedStrings.xml><?xml version="1.0" encoding="utf-8"?>
<sst xmlns="http://schemas.openxmlformats.org/spreadsheetml/2006/main" count="94" uniqueCount="50">
  <si>
    <t>ID</t>
  </si>
  <si>
    <t>Name</t>
  </si>
  <si>
    <t>Description</t>
  </si>
  <si>
    <t>Status</t>
  </si>
  <si>
    <t>US1</t>
  </si>
  <si>
    <t>US2</t>
  </si>
  <si>
    <t>US3</t>
  </si>
  <si>
    <t>US4</t>
  </si>
  <si>
    <t>US5</t>
  </si>
  <si>
    <t>US6</t>
  </si>
  <si>
    <t>US7</t>
  </si>
  <si>
    <t>US8</t>
  </si>
  <si>
    <t>US9</t>
  </si>
  <si>
    <t>US10</t>
  </si>
  <si>
    <t>Not Started</t>
  </si>
  <si>
    <t>Row Labels</t>
  </si>
  <si>
    <t>Grand Total</t>
  </si>
  <si>
    <t>(blank)</t>
  </si>
  <si>
    <t>Count of ID</t>
  </si>
  <si>
    <t>Project Setup</t>
  </si>
  <si>
    <t>Task ID</t>
  </si>
  <si>
    <t>User Story ID</t>
  </si>
  <si>
    <t>US11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</si>
  <si>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</si>
  <si>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</si>
  <si>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</si>
  <si>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</si>
  <si>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</si>
  <si>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</si>
  <si>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</si>
  <si>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</si>
  <si>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</si>
  <si>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</si>
  <si>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</si>
  <si>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</si>
  <si>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</si>
  <si>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</si>
  <si>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</si>
  <si>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Count of Task ID</t>
  </si>
  <si>
    <t>This application uses .net as backend and angular as frontend. Use .net version 6 and angular version 15.2.8</t>
  </si>
  <si>
    <t>.NET Project Creation</t>
  </si>
  <si>
    <t>Create a .NET Web API project</t>
  </si>
  <si>
    <t>Completed</t>
  </si>
  <si>
    <t>Angular Project Setup</t>
  </si>
  <si>
    <t>Create a Angular Project</t>
  </si>
  <si>
    <t>Projects Connection</t>
  </si>
  <si>
    <t>Connect both .NET and Angular Projects</t>
  </si>
  <si>
    <t>User Story Viewer</t>
  </si>
  <si>
    <t>Story ID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</si>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</sst>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  <xf numFmtId="0" fontId="3" fillId="0" borderId="0" xfId="0" applyFont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1" xfId="0" applyFont="1" applyBorder="1" applyAlignment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[User Stories.xlsx]Pivot Tables!PivotTable11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  <a:r>
              <a:rPr lang="en-US" baseline="0"/>
              <a:t> of User Stories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361-41C8-A596-900F77EA82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361-41C8-A596-900F77EA828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Tables'!$A$4:$A$5</c:f>
              <c:strCache>
                <c:ptCount val="2"/>
                <c:pt idx="0">
                  <c:v>Not Started</c:v>
                </c:pt>
                <c:pt idx="1">
                  <c:v>completed</c:v>
                </c:pt>
              </c:strCache>
            </c:strRef>
          </c:cat>
          <c:val>
            <c:numRef>
              <c:f>'Pivot Tables'!$B$4:$B$5</c:f>
              <c:numCache>
                <c:formatCode>General</c:formatCode>
                <c:ptCount val="2"/>
                <c:pt idx="0">
                  <c:v>10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2E-4F0F-B908-3D4584F33A5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[User Stories.xlsx]Pivot Tables!PivotTable13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of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80-4988-86AF-D256E94D45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21-4168-BA33-C2604438915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Tables'!$D$4:$D$6</c:f>
              <c:strCache>
                <c:ptCount val="2"/>
                <c:pt idx="0">
                  <c:v>Not Started</c:v>
                </c:pt>
                <c:pt idx="1">
                  <c:v>Completed</c:v>
                </c:pt>
              </c:strCache>
            </c:strRef>
          </c:cat>
          <c:val>
            <c:numRef>
              <c:f>'Pivot Tables'!$E$4:$E$6</c:f>
              <c:numCache>
                <c:formatCode>General</c:formatCode>
                <c:ptCount val="2"/>
                <c:pt idx="0">
                  <c:v>12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0-4988-86AF-D256E94D45C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[User Stories.xlsx]Pivot Tables!PivotTable14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</a:t>
            </a:r>
            <a:r>
              <a:rPr lang="en-US" baseline="0"/>
              <a:t> of Tasks assigned to User Story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Tables'!$H$4:$H$6</c:f>
              <c:strCache>
                <c:ptCount val="2"/>
                <c:pt idx="0">
                  <c:v>US1</c:v>
                </c:pt>
                <c:pt idx="1">
                  <c:v>(blank)</c:v>
                </c:pt>
              </c:strCache>
            </c:strRef>
          </c:cat>
          <c:val>
            <c:numRef>
              <c:f>'Pivot Tables'!$I$4:$I$6</c:f>
              <c:numCache>
                <c:formatCode>General</c:formatCode>
                <c:ptCount val="2"/>
                <c:pt idx="0">
                  <c:v>3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C-48E9-9770-10735722F7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23713279"/>
        <c:axId val="2023707039"/>
      </c:barChart>
      <c:catAx>
        <c:axId val="2023713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707039"/>
        <c:crosses val="autoZero"/>
        <c:auto val="1"/>
        <c:lblAlgn val="ctr"/>
        <c:lblOffset val="100"/>
        <c:noMultiLvlLbl val="0"/>
      </c:catAx>
      <c:valAx>
        <c:axId val="20237070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71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568778</xdr:colOff>
      <xdr:row>2</xdr:row>
      <xdr:rowOff>3628</xdr:rowOff>
    </xdr:from>
    <xdr:to>
      <xdr:col>9</xdr:col>
      <xdr:colOff>0</xdr:colOff>
      <xdr:row>22</xdr:row>
      <xdr:rowOff>172357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9AB0BD-CBB5-449D-B891-75D7DAE3A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18142</xdr:colOff>
      <xdr:row>1</xdr:row>
      <xdr:rowOff>181426</xdr:rowOff>
    </xdr:from>
    <xdr:to>
      <xdr:col>18</xdr:col>
      <xdr:colOff>9071</xdr:colOff>
      <xdr:row>23</xdr:row>
      <xdr:rowOff>9071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675F42-DF2F-4EC2-BAF0-37B1FA8DF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9070</xdr:colOff>
      <xdr:row>2</xdr:row>
      <xdr:rowOff>9071</xdr:rowOff>
    </xdr:from>
    <xdr:to>
      <xdr:col>27</xdr:col>
      <xdr:colOff>18142</xdr:colOff>
      <xdr:row>22</xdr:row>
      <xdr:rowOff>163284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B74ACC-51C3-49B6-8C23-B4B4E0C9B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6350</xdr:colOff>
          <xdr:row>4</xdr:row>
          <xdr:rowOff>12700</xdr:rowOff>
        </xdr:from>
        <xdr:to>
          <xdr:col>3</xdr:col>
          <xdr:colOff>704850</xdr:colOff>
          <xdr:row>4</xdr:row>
          <xdr:rowOff>165100</xdr:rowOff>
        </xdr:to>
        <xdr:sp macro="" textlink="">
          <xdr:nvSpPr>
            <xdr:cNvPr id="4099" name="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3</a:t>
              </a:r>
            </a:p>
          </xdr:txBody>
        </xdr:sp>
        <xdr:clientData fPrintsWithSheet="0"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nuprasad Mekala" refreshedDate="45648.651921296296" createdVersion="8" refreshedVersion="8" minRefreshableVersion="3" recordCount="15" xr:uid="{E5DE4310-63AE-4DC8-8F0E-281B5E3C05E9}">
  <cacheSource type="worksheet">
    <worksheetSource ref="A1:E16" sheet="Tasks"/>
  </cacheSource>
  <cacheFields count="5">
    <cacheField name="Task ID" numFmtId="0">
      <sharedItems/>
    </cacheField>
    <cacheField name="Name" numFmtId="0">
      <sharedItems containsBlank="1"/>
    </cacheField>
    <cacheField name="Description" numFmtId="0">
      <sharedItems containsBlank="1"/>
    </cacheField>
    <cacheField name="User Story ID" numFmtId="0">
      <sharedItems containsBlank="1" count="2">
        <s v="US1"/>
        <m/>
      </sharedItems>
    </cacheField>
    <cacheField name="Status" numFmtId="0">
      <sharedItems containsBlank="1" count="3">
        <s v="Completed"/>
        <s v="Not Started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nuprasad Mekala" refreshedDate="45648.705372685188" createdVersion="8" refreshedVersion="8" minRefreshableVersion="3" recordCount="11" xr:uid="{18F94B5C-E927-4E80-A526-3D8085690A5F}">
  <cacheSource type="worksheet">
    <worksheetSource ref="A1:D12" sheet="User Stories"/>
  </cacheSource>
  <cacheFields count="4">
    <cacheField name="ID" numFmtId="0">
      <sharedItems/>
    </cacheField>
    <cacheField name="Name" numFmtId="0">
      <sharedItems containsBlank="1"/>
    </cacheField>
    <cacheField name="Description" numFmtId="0">
      <sharedItems containsBlank="1"/>
    </cacheField>
    <cacheField name="Status" numFmtId="0">
      <sharedItems count="3">
        <s v="completed"/>
        <s v="Not Started"/>
        <s v="Inprogres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T001"/>
    <s v=".NET Project Creation"/>
    <s v="Create a .NET Web API project"/>
    <x v="0"/>
    <x v="0"/>
  </r>
  <r>
    <s v="T002"/>
    <s v="Angular Project Setup"/>
    <s v="Create a Angular Project"/>
    <x v="0"/>
    <x v="0"/>
  </r>
  <r>
    <s v="T003"/>
    <s v="Projects Connection"/>
    <s v="Connect both .NET and Angular Projects"/>
    <x v="0"/>
    <x v="0"/>
  </r>
  <r>
    <s v="T004"/>
    <m/>
    <m/>
    <x v="1"/>
    <x v="1"/>
  </r>
  <r>
    <s v="T005"/>
    <m/>
    <m/>
    <x v="1"/>
    <x v="1"/>
  </r>
  <r>
    <s v="T006"/>
    <m/>
    <m/>
    <x v="1"/>
    <x v="1"/>
  </r>
  <r>
    <s v="T007"/>
    <m/>
    <m/>
    <x v="1"/>
    <x v="1"/>
  </r>
  <r>
    <s v="T008"/>
    <m/>
    <m/>
    <x v="1"/>
    <x v="1"/>
  </r>
  <r>
    <s v="T009"/>
    <m/>
    <m/>
    <x v="1"/>
    <x v="1"/>
  </r>
  <r>
    <s v="T010"/>
    <m/>
    <m/>
    <x v="1"/>
    <x v="1"/>
  </r>
  <r>
    <s v="T011"/>
    <m/>
    <m/>
    <x v="1"/>
    <x v="1"/>
  </r>
  <r>
    <s v="T012"/>
    <m/>
    <m/>
    <x v="1"/>
    <x v="1"/>
  </r>
  <r>
    <s v="T013"/>
    <m/>
    <m/>
    <x v="1"/>
    <x v="1"/>
  </r>
  <r>
    <s v="T014"/>
    <m/>
    <m/>
    <x v="1"/>
    <x v="1"/>
  </r>
  <r>
    <s v="T015"/>
    <m/>
    <m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US1"/>
    <s v="Project Setup"/>
    <s v="This application uses .net as backend and angular as frontend. Use .net version 6 and angular version 15.2.8"/>
    <x v="0"/>
  </r>
  <r>
    <s v="US2"/>
    <m/>
    <m/>
    <x v="1"/>
  </r>
  <r>
    <s v="US3"/>
    <m/>
    <m/>
    <x v="1"/>
  </r>
  <r>
    <s v="US4"/>
    <m/>
    <m/>
    <x v="1"/>
  </r>
  <r>
    <s v="US5"/>
    <m/>
    <m/>
    <x v="1"/>
  </r>
  <r>
    <s v="US6"/>
    <m/>
    <m/>
    <x v="1"/>
  </r>
  <r>
    <s v="US7"/>
    <m/>
    <m/>
    <x v="1"/>
  </r>
  <r>
    <s v="US8"/>
    <m/>
    <m/>
    <x v="1"/>
  </r>
  <r>
    <s v="US9"/>
    <m/>
    <m/>
    <x v="1"/>
  </r>
  <r>
    <s v="US10"/>
    <m/>
    <m/>
    <x v="1"/>
  </r>
  <r>
    <s v="US11"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711A2-5704-443E-9C93-6281440D0769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H3:I6" firstHeaderRow="1" firstDataRow="1" firstDataCol="1"/>
  <pivotFields count="5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Task ID" fld="0" subtotal="count" baseField="0" baseItem="0"/>
  </dataFields>
  <chartFormats count="3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396F8-645F-442D-9673-D7534D37496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D3:E6" firstHeaderRow="1" firstDataRow="1" firstDataCol="1"/>
  <pivotFields count="5">
    <pivotField dataField="1" showAll="0"/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</pivotFields>
  <rowFields count="1">
    <field x="4"/>
  </rowFields>
  <rowItems count="3">
    <i>
      <x v="1"/>
    </i>
    <i>
      <x v="2"/>
    </i>
    <i t="grand">
      <x/>
    </i>
  </rowItems>
  <colItems count="1">
    <i/>
  </colItems>
  <dataFields count="1">
    <dataField name="Count of Task ID" fld="0" subtotal="count" baseField="0" baseItem="0"/>
  </dataFields>
  <chartFormats count="3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E5272-6684-4577-8745-CFB73E051732}" name="PivotTable1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A3:B5" firstHeaderRow="1" firstDataRow="1" firstDataCol="1"/>
  <pivotFields count="4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">
    <i>
      <x v="1"/>
    </i>
    <i>
      <x v="2"/>
    </i>
  </rowItems>
  <colItems count="1">
    <i/>
  </colItems>
  <dataFields count="1">
    <dataField name="Count of ID" fld="0" subtotal="count" baseField="0" baseItem="0"/>
  </dataFields>
  <chartFormats count="3"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8060-A28B-462F-9E8D-EE8586B002FF}">
  <sheetPr codeName="Sheet1"/>
  <dimension ref="A1"/>
  <sheetViews>
    <sheetView tabSelected="1" zoomScale="70" zoomScaleNormal="70" workbookViewId="0">
      <selection activeCell="Q31" sqref="Q3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FA18-7CD2-4949-A6C2-A33A43D7E0BD}">
  <sheetPr codeName="Sheet2"/>
  <dimension ref="A1:D4"/>
  <sheetViews>
    <sheetView zoomScale="180" zoomScaleNormal="180" workbookViewId="0">
      <selection activeCell="D4" sqref="D4"/>
    </sheetView>
  </sheetViews>
  <sheetFormatPr defaultRowHeight="14.5" x14ac:dyDescent="0.35"/>
  <cols>
    <col min="2" max="2" width="13.1796875" customWidth="1"/>
    <col min="3" max="3" width="54.36328125" customWidth="1"/>
    <col min="4" max="4" width="10.26953125" bestFit="1" customWidth="1"/>
  </cols>
  <sheetData>
    <row r="1" spans="1:4" s="9" customFormat="1" ht="23.5" x14ac:dyDescent="0.55000000000000004">
      <c r="A1" s="10" t="s">
        <v>47</v>
      </c>
      <c r="B1" s="11"/>
      <c r="C1" s="11"/>
      <c r="D1" s="12"/>
    </row>
    <row r="2" spans="1:4" ht="18.5" x14ac:dyDescent="0.45">
      <c r="A2" s="14" t="s">
        <v>48</v>
      </c>
      <c r="B2" s="15"/>
      <c r="C2" s="16"/>
      <c r="D2" s="13" t="s">
        <v>4</v>
      </c>
    </row>
    <row r="3" spans="1:4" s="3" customFormat="1" x14ac:dyDescent="0.35">
      <c r="A3" s="2" t="s">
        <v>0</v>
      </c>
      <c r="B3" s="2" t="s">
        <v>1</v>
      </c>
      <c r="C3" s="2" t="s">
        <v>2</v>
      </c>
      <c r="D3" s="2" t="s">
        <v>3</v>
      </c>
    </row>
    <row r="4" spans="1:4" s="8" customFormat="1" ht="103" customHeight="1" x14ac:dyDescent="0.35">
      <c r="A4" s="17" t="str">
        <f>IFERROR(D2,"")</f>
        <v>US1</v>
      </c>
      <c r="B4" s="17" t="str">
        <f>VLOOKUP(D2,'User Stories'!A2:D1048576,2,FALSE)</f>
        <v>Project Setup</v>
      </c>
      <c r="C4" s="18" t="str">
        <f>VLOOKUP(D2,'User Stories'!A2:D1048576,3,FALSE)</f>
        <v>This application uses .net as backend and angular as frontend. Use .net version 6 and angular version 15.2.8</v>
      </c>
      <c r="D4" s="17" t="s">
        <v>49</v>
      </c>
    </row>
  </sheetData>
  <mergeCells count="2">
    <mergeCell ref="A2:C2"/>
    <mergeCell ref="A1:D1"/>
  </mergeCells>
  <dataValidations count="1">
    <dataValidation type="list" allowBlank="1" showInputMessage="1" showErrorMessage="1" sqref="D4" xr:uid="{A9F958A0-BD35-4B24-9943-5774C2B10519}">
      <formula1>"Not Started, Inprogress, completed"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4" name="Button 3">
              <controlPr defaultSize="0" print="0" autoFill="0" autoPict="0" macro="[0]!Update">
                <anchor moveWithCells="1" sizeWithCells="1">
                  <from>
                    <xdr:col>3</xdr:col>
                    <xdr:colOff>6350</xdr:colOff>
                    <xdr:row>4</xdr:row>
                    <xdr:rowOff>12700</xdr:rowOff>
                  </from>
                  <to>
                    <xdr:col>3</xdr:col>
                    <xdr:colOff>704850</xdr:colOff>
                    <xdr:row>4</xdr:row>
                    <xdr:rowOff>165100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CA3F4F-6B12-4359-9493-DD6EA5F8BA3A}">
          <x14:formula1>
            <xm:f>'User Stories'!$A$2:$A$1048576</xm:f>
          </x14:formula1>
          <xm:sqref>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D12"/>
  <sheetViews>
    <sheetView workbookViewId="0">
      <selection activeCell="D2" sqref="D2"/>
    </sheetView>
  </sheetViews>
  <sheetFormatPr defaultRowHeight="14.5" x14ac:dyDescent="0.35"/>
  <cols>
    <col min="1" max="1" width="10.6328125" customWidth="1"/>
    <col min="2" max="2" width="11.7265625" bestFit="1" customWidth="1"/>
    <col min="3" max="3" width="92" bestFit="1" customWidth="1"/>
    <col min="4" max="4" width="10.26953125" bestFit="1" customWidth="1"/>
  </cols>
  <sheetData>
    <row r="1" spans="1:4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19</v>
      </c>
      <c r="C2" s="1" t="s">
        <v>39</v>
      </c>
      <c r="D2" s="1" t="s">
        <v>49</v>
      </c>
    </row>
    <row r="3" spans="1:4" x14ac:dyDescent="0.35">
      <c r="A3" s="1" t="s">
        <v>5</v>
      </c>
      <c r="B3" s="1"/>
      <c r="C3" s="1"/>
      <c r="D3" s="1" t="s">
        <v>14</v>
      </c>
    </row>
    <row r="4" spans="1:4" x14ac:dyDescent="0.35">
      <c r="A4" s="1" t="s">
        <v>6</v>
      </c>
      <c r="B4" s="1"/>
      <c r="C4" s="1"/>
      <c r="D4" s="1" t="s">
        <v>14</v>
      </c>
    </row>
    <row r="5" spans="1:4" x14ac:dyDescent="0.35">
      <c r="A5" s="1" t="s">
        <v>7</v>
      </c>
      <c r="B5" s="1"/>
      <c r="C5" s="1"/>
      <c r="D5" s="1" t="s">
        <v>14</v>
      </c>
    </row>
    <row r="6" spans="1:4" x14ac:dyDescent="0.35">
      <c r="A6" s="1" t="s">
        <v>8</v>
      </c>
      <c r="B6" s="1"/>
      <c r="C6" s="1"/>
      <c r="D6" s="1" t="s">
        <v>14</v>
      </c>
    </row>
    <row r="7" spans="1:4" x14ac:dyDescent="0.35">
      <c r="A7" s="1" t="s">
        <v>9</v>
      </c>
      <c r="B7" s="1"/>
      <c r="C7" s="1"/>
      <c r="D7" s="1" t="s">
        <v>14</v>
      </c>
    </row>
    <row r="8" spans="1:4" x14ac:dyDescent="0.35">
      <c r="A8" s="1" t="s">
        <v>10</v>
      </c>
      <c r="B8" s="1"/>
      <c r="C8" s="1"/>
      <c r="D8" s="1" t="s">
        <v>14</v>
      </c>
    </row>
    <row r="9" spans="1:4" x14ac:dyDescent="0.35">
      <c r="A9" s="1" t="s">
        <v>11</v>
      </c>
      <c r="B9" s="1"/>
      <c r="C9" s="1"/>
      <c r="D9" s="1" t="s">
        <v>14</v>
      </c>
    </row>
    <row r="10" spans="1:4" x14ac:dyDescent="0.35">
      <c r="A10" s="1" t="s">
        <v>12</v>
      </c>
      <c r="B10" s="1"/>
      <c r="C10" s="1"/>
      <c r="D10" s="1" t="s">
        <v>14</v>
      </c>
    </row>
    <row r="11" spans="1:4" x14ac:dyDescent="0.35">
      <c r="A11" s="1" t="s">
        <v>13</v>
      </c>
      <c r="B11" s="1"/>
      <c r="C11" s="1"/>
      <c r="D11" s="1" t="s">
        <v>14</v>
      </c>
    </row>
    <row r="12" spans="1:4" x14ac:dyDescent="0.35">
      <c r="A12" s="6" t="s">
        <v>22</v>
      </c>
      <c r="D12" s="7" t="s">
        <v>14</v>
      </c>
    </row>
  </sheetData>
  <phoneticPr fontId="2" type="noConversion"/>
  <dataValidations count="1">
    <dataValidation type="list" allowBlank="1" showInputMessage="1" showErrorMessage="1" sqref="D2:D1048576" xr:uid="{9F78D96C-941B-4087-88AC-D85A04CB402F}">
      <formula1>"Not Started, Inprogress, completed"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2893-F751-46F1-A4BD-FA4A28F29143}">
  <sheetPr codeName="Sheet4"/>
  <dimension ref="A1:E16"/>
  <sheetViews>
    <sheetView workbookViewId="0">
      <selection activeCell="B5" sqref="B5"/>
    </sheetView>
  </sheetViews>
  <sheetFormatPr defaultRowHeight="14.5" x14ac:dyDescent="0.35"/>
  <cols>
    <col min="1" max="1" width="6.81640625" bestFit="1" customWidth="1"/>
    <col min="2" max="2" width="18.54296875" bestFit="1" customWidth="1"/>
    <col min="3" max="3" width="34.36328125" bestFit="1" customWidth="1"/>
    <col min="4" max="4" width="11.6328125" bestFit="1" customWidth="1"/>
    <col min="5" max="5" width="10.26953125" bestFit="1" customWidth="1"/>
  </cols>
  <sheetData>
    <row r="1" spans="1:5" s="3" customFormat="1" x14ac:dyDescent="0.35">
      <c r="A1" s="3" t="s">
        <v>20</v>
      </c>
      <c r="B1" s="3" t="s">
        <v>1</v>
      </c>
      <c r="C1" s="3" t="s">
        <v>2</v>
      </c>
      <c r="D1" s="3" t="s">
        <v>21</v>
      </c>
      <c r="E1" s="3" t="s">
        <v>3</v>
      </c>
    </row>
    <row r="2" spans="1:5" x14ac:dyDescent="0.35">
      <c r="A2" t="s">
        <v>23</v>
      </c>
      <c r="B2" t="s">
        <v>40</v>
      </c>
      <c r="C2" t="s">
        <v>41</v>
      </c>
      <c r="D2" t="s">
        <v>4</v>
      </c>
      <c r="E2" t="s">
        <v>42</v>
      </c>
    </row>
    <row r="3" spans="1:5" x14ac:dyDescent="0.35">
      <c r="A3" t="s">
        <v>24</v>
      </c>
      <c r="B3" t="s">
        <v>43</v>
      </c>
      <c r="C3" t="s">
        <v>44</v>
      </c>
      <c r="D3" t="s">
        <v>4</v>
      </c>
      <c r="E3" t="s">
        <v>42</v>
      </c>
    </row>
    <row r="4" spans="1:5" x14ac:dyDescent="0.35">
      <c r="A4" t="s">
        <v>25</v>
      </c>
      <c r="B4" t="s">
        <v>45</v>
      </c>
      <c r="C4" t="s">
        <v>46</v>
      </c>
      <c r="D4" t="s">
        <v>4</v>
      </c>
      <c r="E4" t="s">
        <v>42</v>
      </c>
    </row>
    <row r="5" spans="1:5" x14ac:dyDescent="0.35">
      <c r="A5" t="s">
        <v>26</v>
      </c>
      <c r="E5" t="s">
        <v>14</v>
      </c>
    </row>
    <row r="6" spans="1:5" x14ac:dyDescent="0.35">
      <c r="A6" t="s">
        <v>27</v>
      </c>
      <c r="E6" t="s">
        <v>14</v>
      </c>
    </row>
    <row r="7" spans="1:5" x14ac:dyDescent="0.35">
      <c r="A7" t="s">
        <v>28</v>
      </c>
      <c r="E7" t="s">
        <v>14</v>
      </c>
    </row>
    <row r="8" spans="1:5" x14ac:dyDescent="0.35">
      <c r="A8" t="s">
        <v>29</v>
      </c>
      <c r="E8" t="s">
        <v>14</v>
      </c>
    </row>
    <row r="9" spans="1:5" x14ac:dyDescent="0.35">
      <c r="A9" t="s">
        <v>30</v>
      </c>
      <c r="E9" t="s">
        <v>14</v>
      </c>
    </row>
    <row r="10" spans="1:5" x14ac:dyDescent="0.35">
      <c r="A10" t="s">
        <v>31</v>
      </c>
      <c r="E10" t="s">
        <v>14</v>
      </c>
    </row>
    <row r="11" spans="1:5" x14ac:dyDescent="0.35">
      <c r="A11" t="s">
        <v>32</v>
      </c>
      <c r="E11" t="s">
        <v>14</v>
      </c>
    </row>
    <row r="12" spans="1:5" x14ac:dyDescent="0.35">
      <c r="A12" t="s">
        <v>33</v>
      </c>
      <c r="E12" t="s">
        <v>14</v>
      </c>
    </row>
    <row r="13" spans="1:5" x14ac:dyDescent="0.35">
      <c r="A13" t="s">
        <v>34</v>
      </c>
      <c r="E13" t="s">
        <v>14</v>
      </c>
    </row>
    <row r="14" spans="1:5" x14ac:dyDescent="0.35">
      <c r="A14" t="s">
        <v>35</v>
      </c>
      <c r="E14" t="s">
        <v>14</v>
      </c>
    </row>
    <row r="15" spans="1:5" x14ac:dyDescent="0.35">
      <c r="A15" t="s">
        <v>36</v>
      </c>
      <c r="E15" t="s">
        <v>14</v>
      </c>
    </row>
    <row r="16" spans="1:5" x14ac:dyDescent="0.35">
      <c r="A16" t="s">
        <v>37</v>
      </c>
      <c r="E16" t="s">
        <v>14</v>
      </c>
    </row>
  </sheetData>
  <phoneticPr fontId="2" type="noConversion"/>
  <dataValidations count="1">
    <dataValidation type="list" allowBlank="1" showInputMessage="1" showErrorMessage="1" sqref="E2:E16" xr:uid="{28BF12E3-94D7-4E9E-84AE-CEFC80408999}">
      <formula1>"Not Started, Inprogress, Completed"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6D16D2-50D6-4356-A1BA-7FAA4836C3E2}">
          <x14:formula1>
            <xm:f>'User Stories'!$A$2:$A$30</xm:f>
          </x14:formula1>
          <xm:sqref>D2:D16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14B7-F382-40A4-95D6-06888A9DC16D}">
  <sheetPr codeName="Sheet5"/>
  <dimension ref="A3:I6"/>
  <sheetViews>
    <sheetView workbookViewId="0">
      <selection activeCell="H5" sqref="H5"/>
    </sheetView>
  </sheetViews>
  <sheetFormatPr defaultRowHeight="14.5" x14ac:dyDescent="0.35"/>
  <cols>
    <col min="1" max="1" width="10.26953125" bestFit="1" customWidth="1"/>
    <col min="2" max="2" width="10.36328125" bestFit="1" customWidth="1"/>
    <col min="4" max="4" width="12.36328125" bestFit="1" customWidth="1"/>
    <col min="5" max="5" width="14.7265625" bestFit="1" customWidth="1"/>
    <col min="8" max="8" width="12.36328125" bestFit="1" customWidth="1"/>
    <col min="9" max="9" width="14.7265625" bestFit="1" customWidth="1"/>
  </cols>
  <sheetData>
    <row r="3" spans="1:9" x14ac:dyDescent="0.35">
      <c r="A3" s="4" t="s">
        <v>3</v>
      </c>
      <c r="B3" t="s">
        <v>18</v>
      </c>
      <c r="D3" s="4" t="s">
        <v>15</v>
      </c>
      <c r="E3" t="s">
        <v>38</v>
      </c>
      <c r="H3" s="4" t="s">
        <v>15</v>
      </c>
      <c r="I3" t="s">
        <v>38</v>
      </c>
    </row>
    <row r="4" spans="1:9" x14ac:dyDescent="0.35">
      <c r="A4" t="s">
        <v>14</v>
      </c>
      <c r="B4" s="19">
        <v>10</v>
      </c>
      <c r="D4" s="5" t="s">
        <v>14</v>
      </c>
      <c r="E4">
        <v>12</v>
      </c>
      <c r="H4" s="5" t="s">
        <v>4</v>
      </c>
      <c r="I4">
        <v>3</v>
      </c>
    </row>
    <row r="5" spans="1:9" x14ac:dyDescent="0.35">
      <c r="A5" t="s">
        <v>49</v>
      </c>
      <c r="B5" s="19">
        <v>1</v>
      </c>
      <c r="D5" s="5" t="s">
        <v>42</v>
      </c>
      <c r="E5">
        <v>3</v>
      </c>
      <c r="H5" s="5" t="s">
        <v>17</v>
      </c>
      <c r="I5">
        <v>12</v>
      </c>
    </row>
    <row r="6" spans="1:9" x14ac:dyDescent="0.35">
      <c r="D6" s="5" t="s">
        <v>16</v>
      </c>
      <c r="E6">
        <v>15</v>
      </c>
      <c r="H6" s="5" t="s">
        <v>16</v>
      </c>
      <c r="I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Sheet1</vt:lpstr>
      <vt:lpstr>User Stories</vt:lpstr>
      <vt:lpstr>Tasks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Mekala Bhanuprasad</dc:creator>
  <cp:lastModifiedBy>Mekala Bhanuprasad</cp:lastModifiedBy>
  <cp:lastPrinted>2024-12-22T10:50:48Z</cp:lastPrinted>
  <dcterms:created xsi:type="dcterms:W3CDTF">2015-06-05T18:17:20Z</dcterms:created>
  <dcterms:modified xsi:type="dcterms:W3CDTF">2024-12-22T11:26:09Z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2024-12-21T12:23:36Z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d1092704-3ee6-4b75-a45e-c7b2b9b4b394</vt:lpwstr>
  </property>
  <property fmtid="{D5CDD505-2E9C-101B-9397-08002B2CF9AE}" pid="8" name="MSIP_Label_a0819fa7-4367-4500-ba88-dd630d977609_ContentBits">
    <vt:lpwstr>0</vt:lpwstr>
  </property>
</Properties>
</file>